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22" i="1"/>
  <c r="F23" i="1"/>
  <c r="F34" i="1"/>
  <c r="F35" i="1"/>
  <c r="F24" i="1"/>
  <c r="F25" i="1"/>
  <c r="F26" i="1"/>
  <c r="F27" i="1"/>
  <c r="F28" i="1"/>
  <c r="F29" i="1"/>
  <c r="F30" i="1"/>
  <c r="F31" i="1"/>
  <c r="F32" i="1"/>
  <c r="F33" i="1"/>
  <c r="F22" i="1"/>
</calcChain>
</file>

<file path=xl/sharedStrings.xml><?xml version="1.0" encoding="utf-8"?>
<sst xmlns="http://schemas.openxmlformats.org/spreadsheetml/2006/main" count="135" uniqueCount="76">
  <si>
    <t>Logical Functions Chap - 4 - 02:32</t>
  </si>
  <si>
    <t>IF, NESTING IF, IFS, AND/OR</t>
  </si>
  <si>
    <t>Sales Target</t>
  </si>
  <si>
    <t>Status</t>
  </si>
  <si>
    <t>&gt;=2000</t>
  </si>
  <si>
    <t>Complete</t>
  </si>
  <si>
    <t>Emp_ID</t>
  </si>
  <si>
    <t>Name</t>
  </si>
  <si>
    <t>Dept</t>
  </si>
  <si>
    <t>Sales</t>
  </si>
  <si>
    <t>Target Status</t>
  </si>
  <si>
    <t>Incentive</t>
  </si>
  <si>
    <t>&lt;2000</t>
  </si>
  <si>
    <t>Incomplete</t>
  </si>
  <si>
    <t>EMP_01</t>
  </si>
  <si>
    <t>ABC</t>
  </si>
  <si>
    <t>FINANCE</t>
  </si>
  <si>
    <t>EMP_02</t>
  </si>
  <si>
    <t>DEF</t>
  </si>
  <si>
    <t>OPERATIONS</t>
  </si>
  <si>
    <t>Incentive Calculation</t>
  </si>
  <si>
    <t>EMP_03</t>
  </si>
  <si>
    <t>GHI</t>
  </si>
  <si>
    <t>SALES</t>
  </si>
  <si>
    <t>Percentage</t>
  </si>
  <si>
    <t>EMP_04</t>
  </si>
  <si>
    <t>JKL</t>
  </si>
  <si>
    <t>1200&gt;</t>
  </si>
  <si>
    <t>EMP_05</t>
  </si>
  <si>
    <t>MNO</t>
  </si>
  <si>
    <t>1800&gt;</t>
  </si>
  <si>
    <t>EMP_06</t>
  </si>
  <si>
    <t>PQR</t>
  </si>
  <si>
    <t>2000&gt;</t>
  </si>
  <si>
    <t>EMP_07</t>
  </si>
  <si>
    <t>STU</t>
  </si>
  <si>
    <t>EMP_08</t>
  </si>
  <si>
    <t>VWX</t>
  </si>
  <si>
    <t>EMP_09</t>
  </si>
  <si>
    <t>YZA</t>
  </si>
  <si>
    <t>EMP_10</t>
  </si>
  <si>
    <t>ASD</t>
  </si>
  <si>
    <t>EMP_11</t>
  </si>
  <si>
    <t>RFV</t>
  </si>
  <si>
    <t>EMP_12</t>
  </si>
  <si>
    <t>TGB</t>
  </si>
  <si>
    <t>EMP_13</t>
  </si>
  <si>
    <t>TRE</t>
  </si>
  <si>
    <t>EMP_14</t>
  </si>
  <si>
    <t>YHJ</t>
  </si>
  <si>
    <t>AND / OR</t>
  </si>
  <si>
    <t>Experience</t>
  </si>
  <si>
    <t>Salary</t>
  </si>
  <si>
    <t>Promotion (AND)</t>
  </si>
  <si>
    <t>(OR)</t>
  </si>
  <si>
    <t>Both</t>
  </si>
  <si>
    <t>Promotion</t>
  </si>
  <si>
    <t>रु 41,666</t>
  </si>
  <si>
    <t>Finance</t>
  </si>
  <si>
    <t>5&gt; =</t>
  </si>
  <si>
    <t>Yes</t>
  </si>
  <si>
    <t>रु 32,444</t>
  </si>
  <si>
    <t>रु 12,654</t>
  </si>
  <si>
    <t>Anyone</t>
  </si>
  <si>
    <t>रु 23,654</t>
  </si>
  <si>
    <t>5&gt;</t>
  </si>
  <si>
    <t>रु 34,123</t>
  </si>
  <si>
    <t>रु 32,145</t>
  </si>
  <si>
    <t>रु 34,563</t>
  </si>
  <si>
    <t>रु 43,562</t>
  </si>
  <si>
    <t>रु 32,453</t>
  </si>
  <si>
    <t>रु 53,245</t>
  </si>
  <si>
    <t>रु 23,451</t>
  </si>
  <si>
    <t>रु 28,653</t>
  </si>
  <si>
    <t>रु 43,274</t>
  </si>
  <si>
    <t>रु 54,321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</si>
</sst>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2" xfId="0" applyFont="1" applyBorder="1"/>
    <xf numFmtId="0" fontId="3" fillId="0" borderId="2" xfId="0" applyFont="1" applyBorder="1"/>
    <xf numFmtId="0" fontId="7" fillId="3" borderId="2" xfId="0" applyFont="1" applyFill="1" applyBorder="1"/>
    <xf numFmtId="0" fontId="1" fillId="4" borderId="2" xfId="0" applyFont="1" applyFill="1" applyBorder="1"/>
    <xf numFmtId="0" fontId="8" fillId="0" borderId="2" xfId="0" applyFont="1" applyBorder="1"/>
    <xf numFmtId="0" fontId="2" fillId="3" borderId="2" xfId="0" applyFont="1" applyFill="1" applyBorder="1"/>
    <xf numFmtId="9" fontId="3" fillId="0" borderId="2" xfId="0" applyNumberFormat="1" applyFont="1" applyBorder="1"/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6" fillId="6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zoomScale="85" zoomScaleNormal="85" workbookViewId="0">
      <selection activeCell="F14" sqref="F14"/>
    </sheetView>
  </sheetViews>
  <sheetFormatPr defaultRowHeight="15" x14ac:dyDescent="0.25"/>
  <cols>
    <col min="5" max="5" width="16.42578125" bestFit="1" customWidth="1"/>
    <col min="8" max="8" width="22.28515625" bestFit="1" customWidth="1"/>
    <col min="9" max="9" width="11.5703125" bestFit="1" customWidth="1"/>
  </cols>
  <sheetData>
    <row r="1" spans="1:13" ht="23.25" x14ac:dyDescent="0.35">
      <c r="A1" s="11" t="s">
        <v>0</v>
      </c>
      <c r="B1" s="12"/>
      <c r="C1" s="12"/>
      <c r="D1" s="12"/>
      <c r="E1" s="12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1"/>
      <c r="C2" s="1"/>
      <c r="D2" s="1"/>
      <c r="E2" s="1"/>
      <c r="F2" s="1"/>
      <c r="G2" s="1"/>
      <c r="H2" s="3" t="s">
        <v>2</v>
      </c>
      <c r="I2" s="3" t="s">
        <v>3</v>
      </c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4" t="s">
        <v>4</v>
      </c>
      <c r="I3" s="4" t="s">
        <v>5</v>
      </c>
      <c r="J3" s="1"/>
      <c r="K3" s="1"/>
      <c r="L3" s="1"/>
      <c r="M3" s="1"/>
    </row>
    <row r="4" spans="1:13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15" t="s">
        <v>11</v>
      </c>
      <c r="G4" s="1"/>
      <c r="H4" s="4" t="s">
        <v>12</v>
      </c>
      <c r="I4" s="4" t="s">
        <v>13</v>
      </c>
      <c r="J4" s="1"/>
      <c r="K4" s="1"/>
      <c r="L4" s="1"/>
      <c r="M4" s="1"/>
    </row>
    <row r="5" spans="1:13" x14ac:dyDescent="0.25">
      <c r="A5" s="4" t="s">
        <v>14</v>
      </c>
      <c r="B5" s="4" t="s">
        <v>15</v>
      </c>
      <c r="C5" s="4" t="s">
        <v>16</v>
      </c>
      <c r="D5" s="4">
        <v>1320</v>
      </c>
      <c r="E5" s="5" t="s">
        <v>13</v>
      </c>
      <c r="F5" s="3">
        <f>IF(D5&gt;=2000,D5*70%,IF(D5&gt;=1800,D5*50%,IF(D5&gt;=1200,D5*30%,0)))</f>
        <v>396</v>
      </c>
      <c r="G5" s="1"/>
      <c r="H5" s="1"/>
      <c r="I5" s="1"/>
      <c r="J5" s="1"/>
      <c r="K5" s="1"/>
      <c r="L5" s="1"/>
      <c r="M5" s="1"/>
    </row>
    <row r="6" spans="1:13" ht="15.75" x14ac:dyDescent="0.25">
      <c r="A6" s="4" t="s">
        <v>17</v>
      </c>
      <c r="B6" s="4" t="s">
        <v>18</v>
      </c>
      <c r="C6" s="4" t="s">
        <v>19</v>
      </c>
      <c r="D6" s="4">
        <v>3215</v>
      </c>
      <c r="E6" s="6" t="s">
        <v>5</v>
      </c>
      <c r="F6" s="4">
        <f t="shared" ref="F6:F18" si="0">IF(D6&gt;=2000,D6*70%,IF(D6&gt;=1800,D6*50%,IF(D6&gt;=1200,D6*30%,0)))</f>
        <v>2250.5</v>
      </c>
      <c r="G6" s="1"/>
      <c r="H6" s="7" t="s">
        <v>20</v>
      </c>
      <c r="I6" s="4"/>
      <c r="J6" s="1"/>
      <c r="K6" s="1"/>
      <c r="L6" s="1"/>
      <c r="M6" s="1"/>
    </row>
    <row r="7" spans="1:13" x14ac:dyDescent="0.25">
      <c r="A7" s="4" t="s">
        <v>21</v>
      </c>
      <c r="B7" s="4" t="s">
        <v>22</v>
      </c>
      <c r="C7" s="4" t="s">
        <v>23</v>
      </c>
      <c r="D7" s="4">
        <v>1145</v>
      </c>
      <c r="E7" s="8" t="s">
        <v>13</v>
      </c>
      <c r="F7" s="4">
        <f t="shared" si="0"/>
        <v>0</v>
      </c>
      <c r="G7" s="1"/>
      <c r="H7" s="4" t="s">
        <v>9</v>
      </c>
      <c r="I7" s="4" t="s">
        <v>24</v>
      </c>
      <c r="J7" s="1"/>
      <c r="K7" s="1"/>
      <c r="L7" s="1"/>
      <c r="M7" s="1"/>
    </row>
    <row r="8" spans="1:13" x14ac:dyDescent="0.25">
      <c r="A8" s="4" t="s">
        <v>25</v>
      </c>
      <c r="B8" s="4" t="s">
        <v>26</v>
      </c>
      <c r="C8" s="4" t="s">
        <v>16</v>
      </c>
      <c r="D8" s="4">
        <v>2456</v>
      </c>
      <c r="E8" s="6" t="s">
        <v>5</v>
      </c>
      <c r="F8" s="4">
        <f t="shared" si="0"/>
        <v>1719.1999999999998</v>
      </c>
      <c r="G8" s="1"/>
      <c r="H8" s="4" t="s">
        <v>27</v>
      </c>
      <c r="I8" s="9">
        <v>0.3</v>
      </c>
      <c r="J8" s="1"/>
      <c r="K8" s="1"/>
      <c r="L8" s="1"/>
      <c r="M8" s="1"/>
    </row>
    <row r="9" spans="1:13" x14ac:dyDescent="0.25">
      <c r="A9" s="4" t="s">
        <v>28</v>
      </c>
      <c r="B9" s="4" t="s">
        <v>29</v>
      </c>
      <c r="C9" s="4" t="s">
        <v>19</v>
      </c>
      <c r="D9" s="4">
        <v>3572</v>
      </c>
      <c r="E9" s="6" t="s">
        <v>5</v>
      </c>
      <c r="F9" s="4">
        <f t="shared" si="0"/>
        <v>2500.3999999999996</v>
      </c>
      <c r="G9" s="1"/>
      <c r="H9" s="4" t="s">
        <v>30</v>
      </c>
      <c r="I9" s="9">
        <v>0.5</v>
      </c>
      <c r="J9" s="1"/>
      <c r="K9" s="1"/>
      <c r="L9" s="1"/>
      <c r="M9" s="1"/>
    </row>
    <row r="10" spans="1:13" x14ac:dyDescent="0.25">
      <c r="A10" s="4" t="s">
        <v>31</v>
      </c>
      <c r="B10" s="4" t="s">
        <v>32</v>
      </c>
      <c r="C10" s="4" t="s">
        <v>23</v>
      </c>
      <c r="D10" s="4">
        <v>1467</v>
      </c>
      <c r="E10" s="8" t="s">
        <v>13</v>
      </c>
      <c r="F10" s="4">
        <f t="shared" si="0"/>
        <v>440.09999999999997</v>
      </c>
      <c r="G10" s="1"/>
      <c r="H10" s="4" t="s">
        <v>33</v>
      </c>
      <c r="I10" s="9">
        <v>0.7</v>
      </c>
      <c r="J10" s="1"/>
      <c r="K10" s="1"/>
      <c r="L10" s="1"/>
      <c r="M10" s="1"/>
    </row>
    <row r="11" spans="1:13" x14ac:dyDescent="0.25">
      <c r="A11" s="4" t="s">
        <v>34</v>
      </c>
      <c r="B11" s="4" t="s">
        <v>35</v>
      </c>
      <c r="C11" s="4" t="s">
        <v>19</v>
      </c>
      <c r="D11" s="4">
        <v>1875</v>
      </c>
      <c r="E11" s="8" t="s">
        <v>13</v>
      </c>
      <c r="F11" s="4">
        <f t="shared" si="0"/>
        <v>937.5</v>
      </c>
      <c r="G11" s="1"/>
      <c r="H11" s="1"/>
      <c r="I11" s="1"/>
      <c r="J11" s="1"/>
      <c r="K11" s="1"/>
      <c r="L11" s="1"/>
      <c r="M11" s="1"/>
    </row>
    <row r="12" spans="1:13" x14ac:dyDescent="0.25">
      <c r="A12" s="4" t="s">
        <v>36</v>
      </c>
      <c r="B12" s="4" t="s">
        <v>37</v>
      </c>
      <c r="C12" s="4" t="s">
        <v>16</v>
      </c>
      <c r="D12" s="4">
        <v>2067</v>
      </c>
      <c r="E12" s="6" t="s">
        <v>5</v>
      </c>
      <c r="F12" s="4">
        <f t="shared" si="0"/>
        <v>1446.8999999999999</v>
      </c>
      <c r="G12" s="1"/>
      <c r="H12" s="1"/>
      <c r="I12" s="1"/>
      <c r="J12" s="1"/>
      <c r="K12" s="1"/>
      <c r="L12" s="1"/>
      <c r="M12" s="1"/>
    </row>
    <row r="13" spans="1:13" x14ac:dyDescent="0.25">
      <c r="A13" s="4" t="s">
        <v>38</v>
      </c>
      <c r="B13" s="4" t="s">
        <v>39</v>
      </c>
      <c r="C13" s="4" t="s">
        <v>23</v>
      </c>
      <c r="D13" s="4">
        <v>3001</v>
      </c>
      <c r="E13" s="6" t="s">
        <v>5</v>
      </c>
      <c r="F13" s="4">
        <f t="shared" si="0"/>
        <v>2100.6999999999998</v>
      </c>
      <c r="G13" s="1"/>
      <c r="H13" s="1"/>
      <c r="I13" s="1"/>
      <c r="J13" s="1"/>
      <c r="K13" s="1"/>
      <c r="L13" s="1"/>
      <c r="M13" s="1"/>
    </row>
    <row r="14" spans="1:13" x14ac:dyDescent="0.25">
      <c r="A14" s="4" t="s">
        <v>40</v>
      </c>
      <c r="B14" s="4" t="s">
        <v>41</v>
      </c>
      <c r="C14" s="4" t="s">
        <v>16</v>
      </c>
      <c r="D14" s="4">
        <v>2953</v>
      </c>
      <c r="E14" s="6" t="s">
        <v>5</v>
      </c>
      <c r="F14" s="4">
        <f t="shared" si="0"/>
        <v>2067.1</v>
      </c>
      <c r="G14" s="1"/>
      <c r="H14" s="1"/>
      <c r="I14" s="1"/>
      <c r="J14" s="1"/>
      <c r="K14" s="1"/>
      <c r="L14" s="1"/>
      <c r="M14" s="1"/>
    </row>
    <row r="15" spans="1:13" x14ac:dyDescent="0.25">
      <c r="A15" s="4" t="s">
        <v>42</v>
      </c>
      <c r="B15" s="4" t="s">
        <v>43</v>
      </c>
      <c r="C15" s="4" t="s">
        <v>23</v>
      </c>
      <c r="D15" s="4">
        <v>1976</v>
      </c>
      <c r="E15" s="8" t="s">
        <v>13</v>
      </c>
      <c r="F15" s="4">
        <f t="shared" si="0"/>
        <v>988</v>
      </c>
      <c r="G15" s="1"/>
      <c r="H15" s="1"/>
      <c r="I15" s="1"/>
      <c r="J15" s="1"/>
      <c r="K15" s="1"/>
      <c r="L15" s="1"/>
      <c r="M15" s="1"/>
    </row>
    <row r="16" spans="1:13" x14ac:dyDescent="0.25">
      <c r="A16" s="4" t="s">
        <v>44</v>
      </c>
      <c r="B16" s="4" t="s">
        <v>45</v>
      </c>
      <c r="C16" s="4" t="s">
        <v>16</v>
      </c>
      <c r="D16" s="4">
        <v>1999</v>
      </c>
      <c r="E16" s="8" t="s">
        <v>13</v>
      </c>
      <c r="F16" s="4">
        <f t="shared" si="0"/>
        <v>999.5</v>
      </c>
      <c r="G16" s="1"/>
      <c r="H16" s="1"/>
      <c r="I16" s="1"/>
      <c r="J16" s="1"/>
      <c r="K16" s="1"/>
      <c r="L16" s="1"/>
      <c r="M16" s="1"/>
    </row>
    <row r="17" spans="1:13" x14ac:dyDescent="0.25">
      <c r="A17" s="4" t="s">
        <v>46</v>
      </c>
      <c r="B17" s="4" t="s">
        <v>47</v>
      </c>
      <c r="C17" s="4" t="s">
        <v>23</v>
      </c>
      <c r="D17" s="4">
        <v>2812</v>
      </c>
      <c r="E17" s="6" t="s">
        <v>5</v>
      </c>
      <c r="F17" s="4">
        <f t="shared" si="0"/>
        <v>1968.3999999999999</v>
      </c>
      <c r="G17" s="1"/>
      <c r="H17" s="1"/>
      <c r="I17" s="1"/>
      <c r="J17" s="1"/>
      <c r="K17" s="1"/>
      <c r="L17" s="1"/>
      <c r="M17" s="1"/>
    </row>
    <row r="18" spans="1:13" x14ac:dyDescent="0.25">
      <c r="A18" s="4" t="s">
        <v>48</v>
      </c>
      <c r="B18" s="4" t="s">
        <v>49</v>
      </c>
      <c r="C18" s="4" t="s">
        <v>19</v>
      </c>
      <c r="D18" s="4">
        <v>2000</v>
      </c>
      <c r="E18" s="6" t="s">
        <v>5</v>
      </c>
      <c r="F18" s="4">
        <f t="shared" si="0"/>
        <v>1400</v>
      </c>
      <c r="G18" s="1"/>
      <c r="H18" s="1"/>
      <c r="I18" s="1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2" t="s">
        <v>50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4" t="s">
        <v>7</v>
      </c>
      <c r="B21" s="4" t="s">
        <v>8</v>
      </c>
      <c r="C21" s="4" t="s">
        <v>51</v>
      </c>
      <c r="D21" s="4" t="s">
        <v>52</v>
      </c>
      <c r="E21" s="4" t="s">
        <v>53</v>
      </c>
      <c r="F21" s="4" t="s">
        <v>54</v>
      </c>
      <c r="G21" s="1"/>
      <c r="H21" s="1"/>
      <c r="I21" s="1"/>
      <c r="J21" s="1"/>
      <c r="K21" s="13" t="s">
        <v>55</v>
      </c>
      <c r="L21" s="14"/>
      <c r="M21" s="3" t="s">
        <v>56</v>
      </c>
    </row>
    <row r="22" spans="1:13" x14ac:dyDescent="0.25">
      <c r="A22" s="4" t="s">
        <v>14</v>
      </c>
      <c r="B22" s="4" t="s">
        <v>16</v>
      </c>
      <c r="C22" s="4">
        <v>5</v>
      </c>
      <c r="D22" s="4" t="s">
        <v>57</v>
      </c>
      <c r="E22" s="3" t="str">
        <f>IF(AND(B22="Finance",C22&gt;=5),"YES","NO")</f>
        <v>YES</v>
      </c>
      <c r="F22" s="3" t="str">
        <f>IF(OR(B22="Finance",C22&gt;5),"YES","NO")</f>
        <v>YES</v>
      </c>
      <c r="G22" s="1"/>
      <c r="H22" s="1"/>
      <c r="I22" s="1"/>
      <c r="J22" s="1"/>
      <c r="K22" s="4" t="s">
        <v>58</v>
      </c>
      <c r="L22" s="4" t="s">
        <v>59</v>
      </c>
      <c r="M22" s="4" t="s">
        <v>60</v>
      </c>
    </row>
    <row r="23" spans="1:13" x14ac:dyDescent="0.25">
      <c r="A23" s="4" t="s">
        <v>17</v>
      </c>
      <c r="B23" s="4" t="s">
        <v>19</v>
      </c>
      <c r="C23" s="4">
        <v>4</v>
      </c>
      <c r="D23" s="4" t="s">
        <v>61</v>
      </c>
      <c r="E23" s="4" t="str">
        <f>IF(AND(B23="Finance",C23&gt;=5),"YES","NO")</f>
        <v>NO</v>
      </c>
      <c r="F23" s="4" t="str">
        <f>IF(OR(B23="Finance",C23&gt;5),"YES","NO")</f>
        <v>NO</v>
      </c>
      <c r="G23" s="1"/>
      <c r="H23" s="1"/>
      <c r="I23" s="1"/>
      <c r="J23" s="1"/>
      <c r="K23" s="1"/>
      <c r="L23" s="1"/>
      <c r="M23" s="1"/>
    </row>
    <row r="24" spans="1:13" x14ac:dyDescent="0.25">
      <c r="A24" s="4" t="s">
        <v>21</v>
      </c>
      <c r="B24" s="4" t="s">
        <v>23</v>
      </c>
      <c r="C24" s="4">
        <v>7</v>
      </c>
      <c r="D24" s="4" t="s">
        <v>62</v>
      </c>
      <c r="E24" s="4" t="str">
        <f t="shared" ref="E23:E35" si="1">IF(AND(B24="Finance",C24&gt;=5),"YES","NO")</f>
        <v>NO</v>
      </c>
      <c r="F24" s="4" t="str">
        <f t="shared" ref="F23:F35" si="2">IF(OR(B24="Finance",C24&gt;5),"YES","NO")</f>
        <v>YES</v>
      </c>
      <c r="G24" s="1"/>
      <c r="H24" s="1"/>
      <c r="I24" s="1"/>
      <c r="J24" s="1"/>
      <c r="K24" s="13" t="s">
        <v>63</v>
      </c>
      <c r="L24" s="14"/>
      <c r="M24" s="3" t="s">
        <v>56</v>
      </c>
    </row>
    <row r="25" spans="1:13" x14ac:dyDescent="0.25">
      <c r="A25" s="4" t="s">
        <v>25</v>
      </c>
      <c r="B25" s="4" t="s">
        <v>16</v>
      </c>
      <c r="C25" s="4">
        <v>8</v>
      </c>
      <c r="D25" s="4" t="s">
        <v>64</v>
      </c>
      <c r="E25" s="4" t="str">
        <f t="shared" si="1"/>
        <v>YES</v>
      </c>
      <c r="F25" s="4" t="str">
        <f t="shared" si="2"/>
        <v>YES</v>
      </c>
      <c r="G25" s="1"/>
      <c r="H25" s="1"/>
      <c r="I25" s="1"/>
      <c r="J25" s="1"/>
      <c r="K25" s="4" t="s">
        <v>58</v>
      </c>
      <c r="L25" s="4" t="s">
        <v>65</v>
      </c>
      <c r="M25" s="4" t="s">
        <v>60</v>
      </c>
    </row>
    <row r="26" spans="1:13" x14ac:dyDescent="0.25">
      <c r="A26" s="4" t="s">
        <v>28</v>
      </c>
      <c r="B26" s="4" t="s">
        <v>19</v>
      </c>
      <c r="C26" s="4">
        <v>4</v>
      </c>
      <c r="D26" s="4" t="s">
        <v>66</v>
      </c>
      <c r="E26" s="4" t="str">
        <f t="shared" si="1"/>
        <v>NO</v>
      </c>
      <c r="F26" s="4" t="str">
        <f t="shared" si="2"/>
        <v>NO</v>
      </c>
      <c r="G26" s="1"/>
      <c r="H26" s="1"/>
      <c r="I26" s="1"/>
      <c r="J26" s="1"/>
      <c r="K26" s="1"/>
      <c r="L26" s="1"/>
      <c r="M26" s="1"/>
    </row>
    <row r="27" spans="1:13" x14ac:dyDescent="0.25">
      <c r="A27" s="4" t="s">
        <v>31</v>
      </c>
      <c r="B27" s="4" t="s">
        <v>23</v>
      </c>
      <c r="C27" s="4">
        <v>6</v>
      </c>
      <c r="D27" s="4" t="s">
        <v>67</v>
      </c>
      <c r="E27" s="4" t="str">
        <f t="shared" si="1"/>
        <v>NO</v>
      </c>
      <c r="F27" s="4" t="str">
        <f t="shared" si="2"/>
        <v>YES</v>
      </c>
      <c r="G27" s="1"/>
      <c r="H27" s="1"/>
      <c r="I27" s="1"/>
      <c r="J27" s="1"/>
      <c r="K27" s="1"/>
      <c r="L27" s="1"/>
      <c r="M27" s="1"/>
    </row>
    <row r="28" spans="1:13" x14ac:dyDescent="0.25">
      <c r="A28" s="4" t="s">
        <v>34</v>
      </c>
      <c r="B28" s="4" t="s">
        <v>19</v>
      </c>
      <c r="C28" s="4">
        <v>3</v>
      </c>
      <c r="D28" s="4" t="s">
        <v>68</v>
      </c>
      <c r="E28" s="4" t="str">
        <f t="shared" si="1"/>
        <v>NO</v>
      </c>
      <c r="F28" s="4" t="str">
        <f t="shared" si="2"/>
        <v>NO</v>
      </c>
      <c r="G28" s="1"/>
      <c r="H28" s="1"/>
      <c r="I28" s="1"/>
      <c r="J28" s="1"/>
      <c r="K28" s="1"/>
      <c r="L28" s="1"/>
      <c r="M28" s="1"/>
    </row>
    <row r="29" spans="1:13" x14ac:dyDescent="0.25">
      <c r="A29" s="4" t="s">
        <v>36</v>
      </c>
      <c r="B29" s="4" t="s">
        <v>16</v>
      </c>
      <c r="C29" s="4">
        <v>6</v>
      </c>
      <c r="D29" s="4" t="s">
        <v>69</v>
      </c>
      <c r="E29" s="4" t="str">
        <f t="shared" si="1"/>
        <v>YES</v>
      </c>
      <c r="F29" s="4" t="str">
        <f t="shared" si="2"/>
        <v>YES</v>
      </c>
      <c r="G29" s="1"/>
      <c r="H29" s="1"/>
      <c r="I29" s="1"/>
      <c r="J29" s="1"/>
      <c r="K29" s="1"/>
      <c r="L29" s="1"/>
      <c r="M29" s="1"/>
    </row>
    <row r="30" spans="1:13" x14ac:dyDescent="0.25">
      <c r="A30" s="4" t="s">
        <v>38</v>
      </c>
      <c r="B30" s="4" t="s">
        <v>23</v>
      </c>
      <c r="C30" s="4">
        <v>4</v>
      </c>
      <c r="D30" s="4" t="s">
        <v>70</v>
      </c>
      <c r="E30" s="4" t="str">
        <f t="shared" si="1"/>
        <v>NO</v>
      </c>
      <c r="F30" s="4" t="str">
        <f t="shared" si="2"/>
        <v>NO</v>
      </c>
      <c r="G30" s="1"/>
      <c r="H30" s="1"/>
      <c r="I30" s="10"/>
      <c r="J30" s="1"/>
      <c r="K30" s="1"/>
      <c r="L30" s="1"/>
      <c r="M30" s="1"/>
    </row>
    <row r="31" spans="1:13" x14ac:dyDescent="0.25">
      <c r="A31" s="4" t="s">
        <v>40</v>
      </c>
      <c r="B31" s="4" t="s">
        <v>16</v>
      </c>
      <c r="C31" s="4">
        <v>5</v>
      </c>
      <c r="D31" s="4" t="s">
        <v>71</v>
      </c>
      <c r="E31" s="4" t="str">
        <f t="shared" si="1"/>
        <v>YES</v>
      </c>
      <c r="F31" s="4" t="str">
        <f t="shared" si="2"/>
        <v>YES</v>
      </c>
      <c r="G31" s="1"/>
      <c r="H31" s="1"/>
      <c r="I31" s="1"/>
      <c r="J31" s="1"/>
      <c r="K31" s="1"/>
      <c r="L31" s="1"/>
      <c r="M31" s="1"/>
    </row>
    <row r="32" spans="1:13" x14ac:dyDescent="0.25">
      <c r="A32" s="4" t="s">
        <v>42</v>
      </c>
      <c r="B32" s="4" t="s">
        <v>23</v>
      </c>
      <c r="C32" s="4">
        <v>6</v>
      </c>
      <c r="D32" s="4" t="s">
        <v>72</v>
      </c>
      <c r="E32" s="4" t="str">
        <f t="shared" si="1"/>
        <v>NO</v>
      </c>
      <c r="F32" s="4" t="str">
        <f t="shared" si="2"/>
        <v>YES</v>
      </c>
      <c r="G32" s="1"/>
      <c r="H32" s="1"/>
      <c r="I32" s="1"/>
      <c r="J32" s="1"/>
      <c r="K32" s="1"/>
      <c r="L32" s="1"/>
      <c r="M32" s="1"/>
    </row>
    <row r="33" spans="1:13" x14ac:dyDescent="0.25">
      <c r="A33" s="4" t="s">
        <v>44</v>
      </c>
      <c r="B33" s="4" t="s">
        <v>16</v>
      </c>
      <c r="C33" s="4">
        <v>4</v>
      </c>
      <c r="D33" s="4" t="s">
        <v>73</v>
      </c>
      <c r="E33" s="4" t="str">
        <f t="shared" si="1"/>
        <v>NO</v>
      </c>
      <c r="F33" s="4" t="str">
        <f t="shared" si="2"/>
        <v>YES</v>
      </c>
      <c r="G33" s="1"/>
      <c r="H33" s="1"/>
      <c r="I33" s="1"/>
      <c r="J33" s="1"/>
      <c r="K33" s="1"/>
      <c r="L33" s="1"/>
      <c r="M33" s="1"/>
    </row>
    <row r="34" spans="1:13" x14ac:dyDescent="0.25">
      <c r="A34" s="4" t="s">
        <v>46</v>
      </c>
      <c r="B34" s="4" t="s">
        <v>23</v>
      </c>
      <c r="C34" s="4">
        <v>4</v>
      </c>
      <c r="D34" s="4" t="s">
        <v>74</v>
      </c>
      <c r="E34" s="4" t="str">
        <f t="shared" si="1"/>
        <v>NO</v>
      </c>
      <c r="F34" s="4" t="str">
        <f t="shared" si="2"/>
        <v>NO</v>
      </c>
      <c r="G34" s="1"/>
      <c r="H34" s="1"/>
      <c r="I34" s="1"/>
      <c r="J34" s="1"/>
      <c r="K34" s="1"/>
      <c r="L34" s="1"/>
      <c r="M34" s="1"/>
    </row>
    <row r="35" spans="1:13" x14ac:dyDescent="0.25">
      <c r="A35" s="4" t="s">
        <v>48</v>
      </c>
      <c r="B35" s="4" t="s">
        <v>19</v>
      </c>
      <c r="C35" s="4">
        <v>3</v>
      </c>
      <c r="D35" s="4" t="s">
        <v>75</v>
      </c>
      <c r="E35" s="4" t="str">
        <f t="shared" si="1"/>
        <v>NO</v>
      </c>
      <c r="F35" s="4" t="str">
        <f t="shared" si="2"/>
        <v>NO</v>
      </c>
      <c r="G35" s="1"/>
      <c r="H35" s="1"/>
      <c r="I35" s="1"/>
      <c r="J35" s="1"/>
      <c r="K35" s="1"/>
      <c r="L35" s="1"/>
      <c r="M35" s="1"/>
    </row>
  </sheetData>
  <mergeCells count="3">
    <mergeCell ref="A1:E1"/>
    <mergeCell ref="K21:L21"/>
    <mergeCell ref="K24:L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2026-04-21T11:32:39Z</dcterms:created>
  <dcterms:modified xsi:type="dcterms:W3CDTF">2026-04-21T11:39:19Z</dcterms:modified>
</cp:coreProperties>
</file>