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11670" windowHeight="4545"/>
  </bookViews>
  <sheets>
    <sheet name="Sheet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  <c r="B24" i="1"/>
  <c r="B25" i="1"/>
  <c r="B26" i="1"/>
  <c r="B27" i="1"/>
  <c r="B29" i="1"/>
  <c r="B30" i="1"/>
  <c r="B23" i="1"/>
  <c r="B14" i="1"/>
  <c r="B15" i="1"/>
  <c r="B16" i="1"/>
  <c r="B17" i="1"/>
  <c r="B18" i="1"/>
  <c r="B19" i="1"/>
  <c r="B20" i="1"/>
  <c r="B13" i="1"/>
  <c r="I20" i="1"/>
</calcChain>
</file>

<file path=xl/sharedStrings.xml><?xml version="1.0" encoding="utf-8"?>
<sst xmlns="http://schemas.openxmlformats.org/spreadsheetml/2006/main" count="138" uniqueCount="61">
  <si>
    <t>Vlookup + MATCH</t>
  </si>
  <si>
    <t>Greater Than</t>
  </si>
  <si>
    <t>EmployeeID</t>
  </si>
  <si>
    <t>Name</t>
  </si>
  <si>
    <t>Department</t>
  </si>
  <si>
    <t>Product</t>
  </si>
  <si>
    <t>Region</t>
  </si>
  <si>
    <t>Sales</t>
  </si>
  <si>
    <t>JoiningDate</t>
  </si>
  <si>
    <t>Salary</t>
  </si>
  <si>
    <t>PerformanceRating</t>
  </si>
  <si>
    <t>EMP_Type</t>
  </si>
  <si>
    <t>Emp_Type</t>
  </si>
  <si>
    <t>Emp001</t>
  </si>
  <si>
    <t>Sneha</t>
  </si>
  <si>
    <t>Finance</t>
  </si>
  <si>
    <t>Pizza</t>
  </si>
  <si>
    <t>South</t>
  </si>
  <si>
    <t xml:space="preserve">₹ 35,000.00 </t>
  </si>
  <si>
    <t>Grade 4</t>
  </si>
  <si>
    <t>Grade 6</t>
  </si>
  <si>
    <t>Emp002</t>
  </si>
  <si>
    <t>Kavita</t>
  </si>
  <si>
    <t>HR</t>
  </si>
  <si>
    <t>Burger</t>
  </si>
  <si>
    <t>West</t>
  </si>
  <si>
    <t xml:space="preserve">₹ 31,000.00 </t>
  </si>
  <si>
    <t>Grade 5</t>
  </si>
  <si>
    <t>Emp003</t>
  </si>
  <si>
    <t>Neha</t>
  </si>
  <si>
    <t>Pasta</t>
  </si>
  <si>
    <t xml:space="preserve">₹ 28,000.00 </t>
  </si>
  <si>
    <t>Emp004</t>
  </si>
  <si>
    <t>Anita</t>
  </si>
  <si>
    <t xml:space="preserve">₹ 30,000.00 </t>
  </si>
  <si>
    <t>Grade 3</t>
  </si>
  <si>
    <t>Emp005</t>
  </si>
  <si>
    <t>Pooja</t>
  </si>
  <si>
    <t xml:space="preserve">₹ 32,000.00 </t>
  </si>
  <si>
    <t>Grade 2</t>
  </si>
  <si>
    <t>Emp006</t>
  </si>
  <si>
    <t>Meena</t>
  </si>
  <si>
    <t xml:space="preserve">₹ 33,000.00 </t>
  </si>
  <si>
    <t xml:space="preserve">Grade 1 </t>
  </si>
  <si>
    <t>Only VlookUp</t>
  </si>
  <si>
    <t>Column1</t>
  </si>
  <si>
    <r>
      <t xml:space="preserve">used </t>
    </r>
    <r>
      <rPr>
        <b/>
        <sz val="11"/>
        <color rgb="FF000000"/>
        <rFont val="Calibri"/>
        <scheme val="minor"/>
      </rPr>
      <t>=ROW()</t>
    </r>
    <r>
      <rPr>
        <sz val="11"/>
        <color rgb="FF000000"/>
        <rFont val="Calibri"/>
        <scheme val="minor"/>
      </rPr>
      <t xml:space="preserve"> to find exact data of table, -11 because, formula is in row 13 and 13-11=2 which will be column number, 2nd row which is </t>
    </r>
    <r>
      <rPr>
        <b/>
        <sz val="11"/>
        <color rgb="FF000000"/>
        <rFont val="Calibri"/>
        <scheme val="minor"/>
      </rPr>
      <t>Sneha</t>
    </r>
  </si>
  <si>
    <t xml:space="preserve">so vlookup takes 4 arguments only </t>
  </si>
  <si>
    <t>1, what to search</t>
  </si>
  <si>
    <t xml:space="preserve">2. where to search or Table </t>
  </si>
  <si>
    <t>3. in which column, 1/2/3/4</t>
  </si>
  <si>
    <t>4. exact value or approx / False or True</t>
  </si>
  <si>
    <t xml:space="preserve">Formula :- </t>
  </si>
  <si>
    <t>&lt;- search here</t>
  </si>
  <si>
    <t>HLOOKUP</t>
  </si>
  <si>
    <t xml:space="preserve"> ₹ 31,000.00 </t>
  </si>
  <si>
    <t xml:space="preserve"> ₹ 28,000.00 </t>
  </si>
  <si>
    <t xml:space="preserve"> ₹ 30,000.00 </t>
  </si>
  <si>
    <t xml:space="preserve"> ₹ 32,000.00 </t>
  </si>
  <si>
    <t xml:space="preserve"> ₹ 33,000.00 </t>
  </si>
  <si>
    <t>Joining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</si>
</sst>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B084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FF00"/>
        <bgColor rgb="FF000000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2" xfId="0" applyFont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0" borderId="3" xfId="0" applyFont="1" applyBorder="1"/>
    <xf numFmtId="14" fontId="2" fillId="0" borderId="3" xfId="0" applyNumberFormat="1" applyFont="1" applyBorder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3" fillId="0" borderId="3" xfId="0" applyFont="1" applyBorder="1"/>
    <xf numFmtId="3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/>
    <xf numFmtId="0" fontId="4" fillId="4" borderId="3" xfId="0" applyFont="1" applyFill="1" applyBorder="1"/>
    <xf numFmtId="0" fontId="2" fillId="0" borderId="3" xfId="0" applyFont="1" applyBorder="1" applyAlignment="1">
      <alignment horizontal="center" vertical="center"/>
    </xf>
    <xf numFmtId="0" fontId="2" fillId="0" borderId="11" xfId="0" applyFont="1" applyBorder="1"/>
    <xf numFmtId="0" fontId="2" fillId="0" borderId="8" xfId="0" applyFont="1" applyBorder="1"/>
    <xf numFmtId="0" fontId="3" fillId="0" borderId="3" xfId="0" applyFont="1" applyBorder="1" applyAlignment="1">
      <alignment horizontal="center" vertical="center" wrapText="1"/>
    </xf>
    <xf numFmtId="0" fontId="5" fillId="0" borderId="12" xfId="0" applyFont="1" applyBorder="1" applyAlignment="1">
      <alignment wrapText="1"/>
    </xf>
    <xf numFmtId="0" fontId="3" fillId="0" borderId="13" xfId="0" applyFont="1" applyBorder="1"/>
    <xf numFmtId="0" fontId="2" fillId="0" borderId="13" xfId="0" applyFont="1" applyBorder="1"/>
    <xf numFmtId="0" fontId="6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1" fillId="4" borderId="16" xfId="0" applyFont="1" applyFill="1" applyBorder="1"/>
    <xf numFmtId="0" fontId="3" fillId="0" borderId="16" xfId="0" applyFont="1" applyBorder="1"/>
    <xf numFmtId="0" fontId="2" fillId="0" borderId="17" xfId="0" applyFont="1" applyBorder="1"/>
    <xf numFmtId="0" fontId="3" fillId="3" borderId="11" xfId="0" applyFont="1" applyFill="1" applyBorder="1"/>
    <xf numFmtId="0" fontId="2" fillId="0" borderId="18" xfId="0" applyFont="1" applyBorder="1"/>
    <xf numFmtId="0" fontId="3" fillId="0" borderId="4" xfId="0" applyFont="1" applyBorder="1" applyAlignment="1">
      <alignment horizontal="center" wrapText="1"/>
    </xf>
    <xf numFmtId="0" fontId="2" fillId="0" borderId="19" xfId="0" applyFont="1" applyBorder="1"/>
    <xf numFmtId="0" fontId="2" fillId="0" borderId="10" xfId="0" applyFont="1" applyBorder="1"/>
    <xf numFmtId="0" fontId="1" fillId="4" borderId="0" xfId="0" applyFont="1" applyFill="1"/>
    <xf numFmtId="14" fontId="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abSelected="1" topLeftCell="A28" zoomScale="80" zoomScaleNormal="80" workbookViewId="0">
      <selection activeCell="K14" sqref="K14"/>
    </sheetView>
  </sheetViews>
  <sheetFormatPr defaultRowHeight="15" x14ac:dyDescent="0.25"/>
  <cols>
    <col min="1" max="1" width="22" bestFit="1" customWidth="1"/>
    <col min="2" max="2" width="15.42578125" customWidth="1"/>
    <col min="3" max="3" width="13.5703125" bestFit="1" customWidth="1"/>
    <col min="4" max="7" width="11.5703125" bestFit="1" customWidth="1"/>
    <col min="8" max="8" width="11.140625" bestFit="1" customWidth="1"/>
    <col min="9" max="9" width="44.28515625" bestFit="1" customWidth="1"/>
    <col min="10" max="10" width="10.28515625" bestFit="1" customWidth="1"/>
    <col min="12" max="12" width="12.42578125" bestFit="1" customWidth="1"/>
    <col min="13" max="13" width="10.140625" bestFit="1" customWidth="1"/>
  </cols>
  <sheetData>
    <row r="1" spans="1:13" ht="18.75" x14ac:dyDescent="0.3">
      <c r="A1" s="1" t="s">
        <v>0</v>
      </c>
      <c r="B1" s="3"/>
      <c r="C1" s="3"/>
      <c r="D1" s="3"/>
      <c r="E1" s="3"/>
      <c r="F1" s="3"/>
      <c r="G1" s="3"/>
      <c r="H1" s="3"/>
      <c r="I1" s="2"/>
      <c r="J1" s="2"/>
      <c r="K1" s="2"/>
      <c r="L1" s="2" t="s">
        <v>1</v>
      </c>
      <c r="M1" s="2"/>
    </row>
    <row r="2" spans="1:13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5" t="s">
        <v>9</v>
      </c>
      <c r="I2" s="4" t="s">
        <v>10</v>
      </c>
      <c r="J2" s="6" t="s">
        <v>11</v>
      </c>
      <c r="K2" s="2"/>
      <c r="L2" s="7" t="s">
        <v>9</v>
      </c>
      <c r="M2" s="8" t="s">
        <v>12</v>
      </c>
    </row>
    <row r="3" spans="1:13" x14ac:dyDescent="0.25">
      <c r="A3" s="9" t="s">
        <v>13</v>
      </c>
      <c r="B3" s="9" t="s">
        <v>14</v>
      </c>
      <c r="C3" s="9" t="s">
        <v>15</v>
      </c>
      <c r="D3" s="9" t="s">
        <v>16</v>
      </c>
      <c r="E3" s="9" t="s">
        <v>17</v>
      </c>
      <c r="F3" s="9">
        <v>6000</v>
      </c>
      <c r="G3" s="10">
        <v>43220</v>
      </c>
      <c r="H3" s="11" t="s">
        <v>18</v>
      </c>
      <c r="I3" s="12">
        <v>5</v>
      </c>
      <c r="J3" s="13"/>
      <c r="K3" s="2"/>
      <c r="L3" s="14">
        <v>20000</v>
      </c>
      <c r="M3" s="15" t="s">
        <v>20</v>
      </c>
    </row>
    <row r="4" spans="1:13" x14ac:dyDescent="0.25">
      <c r="A4" s="9" t="s">
        <v>21</v>
      </c>
      <c r="B4" s="9" t="s">
        <v>22</v>
      </c>
      <c r="C4" s="9" t="s">
        <v>23</v>
      </c>
      <c r="D4" s="9" t="s">
        <v>24</v>
      </c>
      <c r="E4" s="9" t="s">
        <v>25</v>
      </c>
      <c r="F4" s="9">
        <v>7500</v>
      </c>
      <c r="G4" s="10">
        <v>43875</v>
      </c>
      <c r="H4" s="11" t="s">
        <v>26</v>
      </c>
      <c r="I4" s="12">
        <v>4</v>
      </c>
      <c r="J4" s="9" t="s">
        <v>19</v>
      </c>
      <c r="K4" s="2"/>
      <c r="L4" s="14">
        <v>25000</v>
      </c>
      <c r="M4" s="15" t="s">
        <v>27</v>
      </c>
    </row>
    <row r="5" spans="1:13" x14ac:dyDescent="0.25">
      <c r="A5" s="9" t="s">
        <v>28</v>
      </c>
      <c r="B5" s="9" t="s">
        <v>29</v>
      </c>
      <c r="C5" s="9" t="s">
        <v>23</v>
      </c>
      <c r="D5" s="9" t="s">
        <v>30</v>
      </c>
      <c r="E5" s="9" t="s">
        <v>25</v>
      </c>
      <c r="F5" s="9">
        <v>9000</v>
      </c>
      <c r="G5" s="10">
        <v>43733</v>
      </c>
      <c r="H5" s="11" t="s">
        <v>31</v>
      </c>
      <c r="I5" s="12">
        <v>4</v>
      </c>
      <c r="J5" s="9" t="s">
        <v>27</v>
      </c>
      <c r="K5" s="2"/>
      <c r="L5" s="14">
        <v>30000</v>
      </c>
      <c r="M5" s="15" t="s">
        <v>19</v>
      </c>
    </row>
    <row r="6" spans="1:13" x14ac:dyDescent="0.25">
      <c r="A6" s="9" t="s">
        <v>32</v>
      </c>
      <c r="B6" s="9" t="s">
        <v>33</v>
      </c>
      <c r="C6" s="9" t="s">
        <v>23</v>
      </c>
      <c r="D6" s="9" t="s">
        <v>16</v>
      </c>
      <c r="E6" s="9" t="s">
        <v>25</v>
      </c>
      <c r="F6" s="9">
        <v>8000</v>
      </c>
      <c r="G6" s="10">
        <v>44265</v>
      </c>
      <c r="H6" s="11" t="s">
        <v>34</v>
      </c>
      <c r="I6" s="12">
        <v>4</v>
      </c>
      <c r="J6" s="9" t="s">
        <v>19</v>
      </c>
      <c r="K6" s="2"/>
      <c r="L6" s="14">
        <v>40000</v>
      </c>
      <c r="M6" s="15" t="s">
        <v>35</v>
      </c>
    </row>
    <row r="7" spans="1:13" x14ac:dyDescent="0.25">
      <c r="A7" s="9" t="s">
        <v>36</v>
      </c>
      <c r="B7" s="9" t="s">
        <v>37</v>
      </c>
      <c r="C7" s="9" t="s">
        <v>15</v>
      </c>
      <c r="D7" s="9" t="s">
        <v>24</v>
      </c>
      <c r="E7" s="9" t="s">
        <v>17</v>
      </c>
      <c r="F7" s="9">
        <v>7000</v>
      </c>
      <c r="G7" s="10">
        <v>44155</v>
      </c>
      <c r="H7" s="11" t="s">
        <v>38</v>
      </c>
      <c r="I7" s="12">
        <v>5</v>
      </c>
      <c r="J7" s="9" t="s">
        <v>19</v>
      </c>
      <c r="K7" s="2"/>
      <c r="L7" s="14">
        <v>45000</v>
      </c>
      <c r="M7" s="15" t="s">
        <v>39</v>
      </c>
    </row>
    <row r="8" spans="1:13" x14ac:dyDescent="0.25">
      <c r="A8" s="9" t="s">
        <v>40</v>
      </c>
      <c r="B8" s="9" t="s">
        <v>41</v>
      </c>
      <c r="C8" s="9" t="s">
        <v>15</v>
      </c>
      <c r="D8" s="9" t="s">
        <v>30</v>
      </c>
      <c r="E8" s="9" t="s">
        <v>17</v>
      </c>
      <c r="F8" s="9">
        <v>5000</v>
      </c>
      <c r="G8" s="10">
        <v>43637</v>
      </c>
      <c r="H8" s="11" t="s">
        <v>42</v>
      </c>
      <c r="I8" s="12">
        <v>5</v>
      </c>
      <c r="J8" s="9" t="s">
        <v>19</v>
      </c>
      <c r="K8" s="2"/>
      <c r="L8" s="16">
        <v>50000</v>
      </c>
      <c r="M8" s="17" t="s">
        <v>43</v>
      </c>
    </row>
    <row r="9" spans="1:13" x14ac:dyDescent="0.25">
      <c r="A9" s="1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1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8.75" x14ac:dyDescent="0.3">
      <c r="A11" s="19" t="s">
        <v>44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5.75" thickBot="1" x14ac:dyDescent="0.3">
      <c r="A12" s="4" t="s">
        <v>2</v>
      </c>
      <c r="B12" s="20" t="s">
        <v>13</v>
      </c>
      <c r="C12" s="21" t="s">
        <v>45</v>
      </c>
      <c r="D12" s="2"/>
      <c r="E12" s="2"/>
      <c r="F12" s="2"/>
      <c r="G12" s="2"/>
      <c r="H12" s="22"/>
      <c r="I12" s="2"/>
      <c r="J12" s="2"/>
      <c r="K12" s="2"/>
      <c r="L12" s="2"/>
      <c r="M12" s="2"/>
    </row>
    <row r="13" spans="1:13" ht="45.75" thickBot="1" x14ac:dyDescent="0.3">
      <c r="A13" s="4" t="s">
        <v>3</v>
      </c>
      <c r="B13" s="23" t="str">
        <f>VLOOKUP($B$12,$A$3:$I$8,ROW()-11,0)</f>
        <v>Sneha</v>
      </c>
      <c r="C13" s="9">
        <v>1</v>
      </c>
      <c r="D13" s="2"/>
      <c r="E13" s="2"/>
      <c r="F13" s="2"/>
      <c r="G13" s="2"/>
      <c r="H13" s="22"/>
      <c r="I13" s="24" t="s">
        <v>46</v>
      </c>
      <c r="J13" s="2"/>
      <c r="K13" s="2"/>
      <c r="L13" s="2"/>
      <c r="M13" s="2"/>
    </row>
    <row r="14" spans="1:13" x14ac:dyDescent="0.25">
      <c r="A14" s="4" t="s">
        <v>4</v>
      </c>
      <c r="B14" s="23" t="str">
        <f t="shared" ref="B14:B20" si="0">VLOOKUP($B$12,$A$3:$I$8,ROW()-11,0)</f>
        <v>Finance</v>
      </c>
      <c r="C14" s="9">
        <v>2</v>
      </c>
      <c r="D14" s="2"/>
      <c r="E14" s="2"/>
      <c r="F14" s="2"/>
      <c r="G14" s="2"/>
      <c r="H14" s="22"/>
      <c r="I14" s="25" t="s">
        <v>47</v>
      </c>
      <c r="J14" s="2"/>
      <c r="K14" s="2"/>
      <c r="L14" s="2"/>
      <c r="M14" s="2"/>
    </row>
    <row r="15" spans="1:13" x14ac:dyDescent="0.25">
      <c r="A15" s="4" t="s">
        <v>5</v>
      </c>
      <c r="B15" s="23" t="str">
        <f t="shared" si="0"/>
        <v>Pizza</v>
      </c>
      <c r="C15" s="9">
        <v>3</v>
      </c>
      <c r="D15" s="2"/>
      <c r="E15" s="2"/>
      <c r="F15" s="2"/>
      <c r="G15" s="2"/>
      <c r="H15" s="22"/>
      <c r="I15" s="26" t="s">
        <v>48</v>
      </c>
      <c r="J15" s="2"/>
      <c r="K15" s="2"/>
      <c r="L15" s="2"/>
      <c r="M15" s="2"/>
    </row>
    <row r="16" spans="1:13" x14ac:dyDescent="0.25">
      <c r="A16" s="4" t="s">
        <v>6</v>
      </c>
      <c r="B16" s="23" t="str">
        <f t="shared" si="0"/>
        <v>South</v>
      </c>
      <c r="C16" s="9">
        <v>4</v>
      </c>
      <c r="D16" s="2"/>
      <c r="E16" s="2"/>
      <c r="F16" s="2"/>
      <c r="G16" s="2"/>
      <c r="H16" s="22"/>
      <c r="I16" s="26" t="s">
        <v>49</v>
      </c>
      <c r="J16" s="2"/>
      <c r="K16" s="2"/>
      <c r="L16" s="2"/>
      <c r="M16" s="2"/>
    </row>
    <row r="17" spans="1:13" x14ac:dyDescent="0.25">
      <c r="A17" s="4" t="s">
        <v>7</v>
      </c>
      <c r="B17" s="23">
        <f t="shared" si="0"/>
        <v>6000</v>
      </c>
      <c r="C17" s="9">
        <v>5</v>
      </c>
      <c r="D17" s="2"/>
      <c r="E17" s="2"/>
      <c r="F17" s="2"/>
      <c r="G17" s="2"/>
      <c r="H17" s="22"/>
      <c r="I17" s="26" t="s">
        <v>50</v>
      </c>
      <c r="J17" s="2"/>
      <c r="K17" s="2"/>
      <c r="L17" s="2"/>
      <c r="M17" s="2"/>
    </row>
    <row r="18" spans="1:13" ht="15.75" thickBot="1" x14ac:dyDescent="0.3">
      <c r="A18" s="4" t="s">
        <v>8</v>
      </c>
      <c r="B18" s="23">
        <f t="shared" si="0"/>
        <v>43220</v>
      </c>
      <c r="C18" s="9">
        <v>6</v>
      </c>
      <c r="D18" s="2"/>
      <c r="E18" s="2"/>
      <c r="F18" s="2"/>
      <c r="G18" s="2"/>
      <c r="H18" s="22"/>
      <c r="I18" s="26" t="s">
        <v>51</v>
      </c>
      <c r="J18" s="2"/>
      <c r="K18" s="2"/>
      <c r="L18" s="2"/>
      <c r="M18" s="2"/>
    </row>
    <row r="19" spans="1:13" x14ac:dyDescent="0.25">
      <c r="A19" s="4" t="s">
        <v>9</v>
      </c>
      <c r="B19" s="23" t="str">
        <f t="shared" si="0"/>
        <v xml:space="preserve">₹ 35,000.00 </v>
      </c>
      <c r="C19" s="9">
        <v>7</v>
      </c>
      <c r="D19" s="2"/>
      <c r="E19" s="2"/>
      <c r="F19" s="2"/>
      <c r="G19" s="2"/>
      <c r="H19" s="22"/>
      <c r="I19" s="27" t="s">
        <v>52</v>
      </c>
      <c r="J19" s="2"/>
      <c r="K19" s="2"/>
      <c r="L19" s="2"/>
      <c r="M19" s="2"/>
    </row>
    <row r="20" spans="1:13" ht="15.75" thickBot="1" x14ac:dyDescent="0.3">
      <c r="A20" s="6" t="s">
        <v>10</v>
      </c>
      <c r="B20" s="23">
        <f t="shared" si="0"/>
        <v>5</v>
      </c>
      <c r="C20" s="9">
        <v>8</v>
      </c>
      <c r="D20" s="2"/>
      <c r="E20" s="2"/>
      <c r="F20" s="2"/>
      <c r="G20" s="2"/>
      <c r="H20" s="22"/>
      <c r="I20" s="28" t="e">
        <f>VLOOKUP(lookup_value, table_array, col_index_num, range_lookup)</f>
        <v>#NAME?</v>
      </c>
      <c r="J20" s="2"/>
      <c r="K20" s="2"/>
      <c r="L20" s="2"/>
      <c r="M20" s="2"/>
    </row>
    <row r="21" spans="1:13" ht="18.75" x14ac:dyDescent="0.3">
      <c r="A21" s="29" t="s">
        <v>0</v>
      </c>
      <c r="B21" s="30"/>
      <c r="C21" s="31"/>
      <c r="D21" s="2"/>
      <c r="E21" s="2"/>
      <c r="F21" s="2"/>
      <c r="G21" s="2"/>
      <c r="H21" s="2"/>
      <c r="I21" s="22"/>
      <c r="J21" s="2"/>
      <c r="K21" s="2"/>
      <c r="L21" s="2"/>
      <c r="M21" s="2"/>
    </row>
    <row r="22" spans="1:13" x14ac:dyDescent="0.25">
      <c r="A22" s="32" t="s">
        <v>2</v>
      </c>
      <c r="B22" s="20" t="s">
        <v>32</v>
      </c>
      <c r="C22" s="33" t="s">
        <v>53</v>
      </c>
      <c r="D22" s="2"/>
      <c r="E22" s="2"/>
      <c r="F22" s="2"/>
      <c r="G22" s="2"/>
      <c r="H22" s="2"/>
      <c r="I22" s="22"/>
      <c r="J22" s="2"/>
      <c r="K22" s="2"/>
      <c r="L22" s="2"/>
      <c r="M22" s="2"/>
    </row>
    <row r="23" spans="1:13" x14ac:dyDescent="0.25">
      <c r="A23" s="4" t="s">
        <v>3</v>
      </c>
      <c r="B23" s="34" t="str">
        <f>VLOOKUP($B$22,$A$3:$I$8,MATCH(A23,$A$2:$I$2,0),0)</f>
        <v>Anita</v>
      </c>
      <c r="C23" s="33"/>
      <c r="D23" s="2"/>
      <c r="E23" s="2"/>
      <c r="F23" s="2"/>
      <c r="G23" s="2"/>
      <c r="H23" s="2"/>
      <c r="I23" s="22"/>
      <c r="J23" s="2"/>
      <c r="K23" s="2"/>
      <c r="L23" s="2"/>
      <c r="M23" s="2"/>
    </row>
    <row r="24" spans="1:13" x14ac:dyDescent="0.25">
      <c r="A24" s="4" t="s">
        <v>4</v>
      </c>
      <c r="B24" s="34" t="str">
        <f t="shared" ref="B24:B30" si="1">VLOOKUP($B$22,$A$3:$I$8,MATCH(A24,$A$2:$I$2,0),0)</f>
        <v>HR</v>
      </c>
      <c r="C24" s="33"/>
      <c r="D24" s="2"/>
      <c r="E24" s="2"/>
      <c r="F24" s="2"/>
      <c r="G24" s="2"/>
      <c r="H24" s="2"/>
      <c r="I24" s="22"/>
      <c r="J24" s="2"/>
      <c r="K24" s="2"/>
      <c r="L24" s="2"/>
      <c r="M24" s="2"/>
    </row>
    <row r="25" spans="1:13" x14ac:dyDescent="0.25">
      <c r="A25" s="4" t="s">
        <v>5</v>
      </c>
      <c r="B25" s="34" t="str">
        <f t="shared" si="1"/>
        <v>Pizza</v>
      </c>
      <c r="C25" s="33"/>
      <c r="D25" s="2"/>
      <c r="E25" s="2"/>
      <c r="F25" s="2"/>
      <c r="G25" s="2"/>
      <c r="H25" s="2"/>
      <c r="I25" s="22"/>
      <c r="J25" s="2"/>
      <c r="K25" s="2"/>
      <c r="L25" s="2"/>
      <c r="M25" s="2"/>
    </row>
    <row r="26" spans="1:13" x14ac:dyDescent="0.25">
      <c r="A26" s="4" t="s">
        <v>6</v>
      </c>
      <c r="B26" s="34" t="str">
        <f t="shared" si="1"/>
        <v>West</v>
      </c>
      <c r="C26" s="33"/>
      <c r="D26" s="2"/>
      <c r="E26" s="2"/>
      <c r="F26" s="2"/>
      <c r="G26" s="2"/>
      <c r="H26" s="2"/>
      <c r="I26" s="22"/>
      <c r="J26" s="2"/>
      <c r="K26" s="2"/>
      <c r="L26" s="2"/>
      <c r="M26" s="2"/>
    </row>
    <row r="27" spans="1:13" x14ac:dyDescent="0.25">
      <c r="A27" s="4" t="s">
        <v>7</v>
      </c>
      <c r="B27" s="34">
        <f t="shared" si="1"/>
        <v>8000</v>
      </c>
      <c r="C27" s="33"/>
      <c r="D27" s="2"/>
      <c r="E27" s="2"/>
      <c r="F27" s="2"/>
      <c r="G27" s="2"/>
      <c r="H27" s="2"/>
      <c r="I27" s="22"/>
      <c r="J27" s="2"/>
      <c r="K27" s="2"/>
      <c r="L27" s="2"/>
      <c r="M27" s="2"/>
    </row>
    <row r="28" spans="1:13" x14ac:dyDescent="0.25">
      <c r="A28" s="4" t="s">
        <v>60</v>
      </c>
      <c r="B28" s="34" t="e">
        <f>VLOOKUP($B$22,$A$3:$I$8,MATCH(A28,$A$2:$I$2,0),0)</f>
        <v>#N/A</v>
      </c>
      <c r="C28" s="33"/>
      <c r="D28" s="2"/>
      <c r="E28" s="2"/>
      <c r="F28" s="2"/>
      <c r="G28" s="2"/>
      <c r="H28" s="2"/>
      <c r="I28" s="22"/>
      <c r="J28" s="2"/>
      <c r="K28" s="2"/>
      <c r="L28" s="2"/>
      <c r="M28" s="2"/>
    </row>
    <row r="29" spans="1:13" x14ac:dyDescent="0.25">
      <c r="A29" s="4" t="s">
        <v>9</v>
      </c>
      <c r="B29" s="34" t="str">
        <f t="shared" si="1"/>
        <v xml:space="preserve">₹ 30,000.00 </v>
      </c>
      <c r="C29" s="33"/>
      <c r="D29" s="2"/>
      <c r="E29" s="2"/>
      <c r="F29" s="2"/>
      <c r="G29" s="2"/>
      <c r="H29" s="2"/>
      <c r="I29" s="22"/>
      <c r="J29" s="2"/>
      <c r="K29" s="2"/>
      <c r="L29" s="2"/>
      <c r="M29" s="2"/>
    </row>
    <row r="30" spans="1:13" x14ac:dyDescent="0.25">
      <c r="A30" s="4" t="s">
        <v>10</v>
      </c>
      <c r="B30" s="34">
        <f t="shared" si="1"/>
        <v>4</v>
      </c>
      <c r="C30" s="33"/>
      <c r="D30" s="35"/>
      <c r="E30" s="35"/>
      <c r="F30" s="35"/>
      <c r="G30" s="35"/>
      <c r="H30" s="35"/>
      <c r="I30" s="36"/>
      <c r="J30" s="2"/>
      <c r="K30" s="2"/>
      <c r="L30" s="2"/>
      <c r="M30" s="2"/>
    </row>
    <row r="31" spans="1:1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8.75" x14ac:dyDescent="0.3">
      <c r="A34" s="37" t="s">
        <v>54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4" t="s">
        <v>2</v>
      </c>
      <c r="B35" s="20" t="s">
        <v>13</v>
      </c>
      <c r="C35" s="20" t="s">
        <v>21</v>
      </c>
      <c r="D35" s="20" t="s">
        <v>28</v>
      </c>
      <c r="E35" s="20" t="s">
        <v>32</v>
      </c>
      <c r="F35" s="20" t="s">
        <v>36</v>
      </c>
      <c r="G35" s="20" t="s">
        <v>40</v>
      </c>
      <c r="H35" s="2"/>
      <c r="I35" s="2"/>
      <c r="J35" s="2"/>
      <c r="K35" s="2"/>
      <c r="L35" s="2"/>
      <c r="M35" s="2"/>
    </row>
    <row r="36" spans="1:13" x14ac:dyDescent="0.25">
      <c r="A36" s="4" t="s">
        <v>3</v>
      </c>
      <c r="B36" s="20" t="s">
        <v>14</v>
      </c>
      <c r="C36" s="20" t="s">
        <v>22</v>
      </c>
      <c r="D36" s="20" t="s">
        <v>29</v>
      </c>
      <c r="E36" s="20" t="s">
        <v>33</v>
      </c>
      <c r="F36" s="20" t="s">
        <v>37</v>
      </c>
      <c r="G36" s="20" t="s">
        <v>41</v>
      </c>
      <c r="H36" s="2"/>
      <c r="I36" s="2"/>
      <c r="J36" s="2"/>
      <c r="K36" s="2"/>
      <c r="L36" s="2"/>
      <c r="M36" s="2"/>
    </row>
    <row r="37" spans="1:13" x14ac:dyDescent="0.25">
      <c r="A37" s="4" t="s">
        <v>4</v>
      </c>
      <c r="B37" s="20" t="s">
        <v>15</v>
      </c>
      <c r="C37" s="20" t="s">
        <v>23</v>
      </c>
      <c r="D37" s="20" t="s">
        <v>23</v>
      </c>
      <c r="E37" s="20" t="s">
        <v>23</v>
      </c>
      <c r="F37" s="20" t="s">
        <v>15</v>
      </c>
      <c r="G37" s="20" t="s">
        <v>15</v>
      </c>
      <c r="H37" s="2"/>
      <c r="I37" s="2"/>
      <c r="J37" s="2"/>
      <c r="K37" s="2"/>
      <c r="L37" s="2"/>
      <c r="M37" s="2"/>
    </row>
    <row r="38" spans="1:13" x14ac:dyDescent="0.25">
      <c r="A38" s="4" t="s">
        <v>5</v>
      </c>
      <c r="B38" s="20" t="s">
        <v>16</v>
      </c>
      <c r="C38" s="20" t="s">
        <v>24</v>
      </c>
      <c r="D38" s="20" t="s">
        <v>30</v>
      </c>
      <c r="E38" s="20" t="s">
        <v>16</v>
      </c>
      <c r="F38" s="20" t="s">
        <v>24</v>
      </c>
      <c r="G38" s="20" t="s">
        <v>30</v>
      </c>
      <c r="H38" s="2"/>
      <c r="I38" s="2"/>
      <c r="J38" s="2"/>
      <c r="K38" s="2"/>
      <c r="L38" s="2"/>
      <c r="M38" s="2"/>
    </row>
    <row r="39" spans="1:13" x14ac:dyDescent="0.25">
      <c r="A39" s="4" t="s">
        <v>6</v>
      </c>
      <c r="B39" s="20" t="s">
        <v>17</v>
      </c>
      <c r="C39" s="20" t="s">
        <v>25</v>
      </c>
      <c r="D39" s="20" t="s">
        <v>25</v>
      </c>
      <c r="E39" s="20" t="s">
        <v>25</v>
      </c>
      <c r="F39" s="20" t="s">
        <v>17</v>
      </c>
      <c r="G39" s="20" t="s">
        <v>17</v>
      </c>
      <c r="H39" s="2"/>
      <c r="I39" s="2"/>
      <c r="J39" s="2"/>
      <c r="K39" s="2"/>
      <c r="L39" s="2"/>
      <c r="M39" s="2"/>
    </row>
    <row r="40" spans="1:13" x14ac:dyDescent="0.25">
      <c r="A40" s="4" t="s">
        <v>7</v>
      </c>
      <c r="B40" s="20">
        <v>6000</v>
      </c>
      <c r="C40" s="20">
        <v>7500</v>
      </c>
      <c r="D40" s="20">
        <v>9000</v>
      </c>
      <c r="E40" s="20">
        <v>8000</v>
      </c>
      <c r="F40" s="20">
        <v>7000</v>
      </c>
      <c r="G40" s="20">
        <v>5000</v>
      </c>
      <c r="H40" s="2"/>
      <c r="I40" s="2"/>
      <c r="J40" s="2"/>
      <c r="K40" s="2"/>
      <c r="L40" s="2"/>
      <c r="M40" s="2"/>
    </row>
    <row r="41" spans="1:13" x14ac:dyDescent="0.25">
      <c r="A41" s="4" t="s">
        <v>8</v>
      </c>
      <c r="B41" s="38">
        <v>43220</v>
      </c>
      <c r="C41" s="38">
        <v>43875</v>
      </c>
      <c r="D41" s="38">
        <v>43733</v>
      </c>
      <c r="E41" s="38">
        <v>44265</v>
      </c>
      <c r="F41" s="38">
        <v>44155</v>
      </c>
      <c r="G41" s="38">
        <v>43637</v>
      </c>
      <c r="H41" s="2"/>
      <c r="I41" s="2"/>
      <c r="J41" s="2"/>
      <c r="K41" s="2"/>
      <c r="L41" s="2"/>
      <c r="M41" s="2"/>
    </row>
    <row r="42" spans="1:13" x14ac:dyDescent="0.25">
      <c r="A42" s="4" t="s">
        <v>9</v>
      </c>
      <c r="B42" s="20" t="s">
        <v>18</v>
      </c>
      <c r="C42" s="20" t="s">
        <v>55</v>
      </c>
      <c r="D42" s="20" t="s">
        <v>56</v>
      </c>
      <c r="E42" s="20" t="s">
        <v>57</v>
      </c>
      <c r="F42" s="20" t="s">
        <v>58</v>
      </c>
      <c r="G42" s="20" t="s">
        <v>59</v>
      </c>
      <c r="H42" s="2"/>
      <c r="I42" s="2"/>
      <c r="J42" s="2"/>
      <c r="K42" s="2"/>
      <c r="L42" s="2"/>
      <c r="M42" s="2"/>
    </row>
    <row r="43" spans="1:13" x14ac:dyDescent="0.25">
      <c r="A43" s="4" t="s">
        <v>10</v>
      </c>
      <c r="B43" s="20">
        <v>5</v>
      </c>
      <c r="C43" s="20">
        <v>4</v>
      </c>
      <c r="D43" s="20">
        <v>4</v>
      </c>
      <c r="E43" s="20">
        <v>4</v>
      </c>
      <c r="F43" s="20">
        <v>5</v>
      </c>
      <c r="G43" s="20">
        <v>5</v>
      </c>
      <c r="H43" s="2"/>
      <c r="I43" s="2"/>
      <c r="J43" s="2"/>
      <c r="K43" s="2"/>
      <c r="L43" s="2"/>
      <c r="M43" s="2"/>
    </row>
  </sheetData>
  <dataValidations count="2">
    <dataValidation type="list" allowBlank="1" showInputMessage="1" showErrorMessage="1" sqref="B12 B22">
      <formula1>$A$3:$A$8</formula1>
    </dataValidation>
    <dataValidation type="list" allowBlank="1" showInputMessage="1" showErrorMessage="1" sqref="A23:A30">
      <formula1>$A$23:$A$30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2026-04-22T13:17:24Z</dcterms:created>
  <dcterms:modified xsi:type="dcterms:W3CDTF">2026-04-22T16:01:50Z</dcterms:modified>
</cp:coreProperties>
</file>